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ilha de Preço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 Narrow"/>
      <b val="1"/>
      <sz val="13"/>
    </font>
    <font>
      <name val="Arial Narrow"/>
      <i val="1"/>
      <sz val="9"/>
    </font>
    <font>
      <name val="Arial Narrow"/>
      <b val="1"/>
      <color rgb="00FFFFFF"/>
    </font>
    <font>
      <name val="Arial Narrow"/>
      <b val="1"/>
    </font>
    <font>
      <name val="Arial Narrow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wrapText="1"/>
    </xf>
    <xf numFmtId="0" fontId="4" fillId="3" borderId="0" pivotButton="0" quotePrefix="0" xfId="0"/>
    <xf numFmtId="4" fontId="0" fillId="0" borderId="0" pivotButton="0" quotePrefix="0" xfId="0"/>
    <xf numFmtId="0" fontId="5" fillId="0" borderId="1" applyAlignment="1" pivotButton="0" quotePrefix="0" xfId="0">
      <alignment horizontal="center"/>
    </xf>
    <xf numFmtId="0" fontId="5" fillId="0" borderId="1" pivotButton="0" quotePrefix="0" xfId="0"/>
    <xf numFmtId="4" fontId="5" fillId="0" borderId="1" applyAlignment="1" pivotButton="0" quotePrefix="0" xfId="0">
      <alignment horizontal="center"/>
    </xf>
    <xf numFmtId="0" fontId="4" fillId="0" borderId="0" pivotButton="0" quotePrefix="0" xfId="0"/>
    <xf numFmtId="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3"/>
  <sheetViews>
    <sheetView workbookViewId="0">
      <selection activeCell="A1" sqref="A1"/>
    </sheetView>
  </sheetViews>
  <sheetFormatPr baseColWidth="8" defaultRowHeight="15"/>
  <cols>
    <col width="6" customWidth="1" min="1" max="1"/>
    <col width="15" customWidth="1" min="2" max="2"/>
    <col width="20" customWidth="1" min="3" max="3"/>
    <col width="52" customWidth="1" min="4" max="4"/>
    <col width="9" customWidth="1" min="5" max="5"/>
    <col width="10" customWidth="1" min="6" max="6"/>
    <col width="16" customWidth="1" min="7" max="7"/>
    <col width="18" customWidth="1" min="8" max="8"/>
  </cols>
  <sheetData>
    <row r="1">
      <c r="A1" s="1" t="inlineStr">
        <is>
          <t>PLANILHA ORIENTATIVA DE PREÇOS — ELABORAÇÃO DE PGRS / ÁGUAS DO RIO</t>
        </is>
      </c>
    </row>
    <row r="2">
      <c r="A2" s="2" t="inlineStr">
        <is>
          <t>Preço unitário a ser preenchido pelo PROPONENTE. 53 PGRS cobrindo as 179 unidades operacionais (Lei 12.305/2010, art. 20).</t>
        </is>
      </c>
    </row>
    <row r="4">
      <c r="A4" s="3" t="inlineStr">
        <is>
          <t>Item</t>
        </is>
      </c>
      <c r="B4" s="3" t="inlineStr">
        <is>
          <t>PGRS</t>
        </is>
      </c>
      <c r="C4" s="3" t="inlineStr">
        <is>
          <t>Modalidade</t>
        </is>
      </c>
      <c r="D4" s="3" t="inlineStr">
        <is>
          <t>Unidade / Área de cobertura</t>
        </is>
      </c>
      <c r="E4" s="3" t="inlineStr">
        <is>
          <t>Bloco</t>
        </is>
      </c>
      <c r="F4" s="3" t="inlineStr">
        <is>
          <t>Nº de unidades</t>
        </is>
      </c>
      <c r="G4" s="3" t="inlineStr">
        <is>
          <t>Preço unitário (R$)</t>
        </is>
      </c>
      <c r="H4" s="3" t="inlineStr">
        <is>
          <t>Preço total (R$)</t>
        </is>
      </c>
    </row>
    <row r="5">
      <c r="A5" s="4" t="inlineStr">
        <is>
          <t>ITEM 01 — PGRS INDIVIDUALIZADOS (30 planos)</t>
        </is>
      </c>
      <c r="G5" s="5" t="n"/>
      <c r="H5" s="5" t="n"/>
    </row>
    <row r="6">
      <c r="A6" s="6" t="n">
        <v>1</v>
      </c>
      <c r="B6" s="7" t="inlineStr">
        <is>
          <t>Individualizado</t>
        </is>
      </c>
      <c r="C6" s="7" t="inlineStr">
        <is>
          <t>Individualizado</t>
        </is>
      </c>
      <c r="D6" s="7" t="inlineStr">
        <is>
          <t>ETE Alegria — Rio de Janeiro</t>
        </is>
      </c>
      <c r="E6" s="6" t="inlineStr">
        <is>
          <t>B4</t>
        </is>
      </c>
      <c r="F6" s="6" t="n">
        <v>1</v>
      </c>
      <c r="G6" s="8" t="n"/>
      <c r="H6" s="8">
        <f>G6*F6</f>
        <v/>
      </c>
    </row>
    <row r="7">
      <c r="A7" s="6" t="n">
        <v>2</v>
      </c>
      <c r="B7" s="7" t="inlineStr">
        <is>
          <t>Individualizado</t>
        </is>
      </c>
      <c r="C7" s="7" t="inlineStr">
        <is>
          <t>Individualizado</t>
        </is>
      </c>
      <c r="D7" s="7" t="inlineStr">
        <is>
          <t>ETE São Gonçalo II — São Gonçalo</t>
        </is>
      </c>
      <c r="E7" s="6" t="inlineStr">
        <is>
          <t>B1</t>
        </is>
      </c>
      <c r="F7" s="6" t="n">
        <v>1</v>
      </c>
      <c r="G7" s="8" t="n"/>
      <c r="H7" s="8">
        <f>G7*F7</f>
        <v/>
      </c>
    </row>
    <row r="8">
      <c r="A8" s="6" t="n">
        <v>3</v>
      </c>
      <c r="B8" s="7" t="inlineStr">
        <is>
          <t>Individualizado</t>
        </is>
      </c>
      <c r="C8" s="7" t="inlineStr">
        <is>
          <t>Individualizado</t>
        </is>
      </c>
      <c r="D8" s="7" t="inlineStr">
        <is>
          <t>Base Operacional Tijuca — Rio de Janeiro</t>
        </is>
      </c>
      <c r="E8" s="6" t="inlineStr">
        <is>
          <t>B4</t>
        </is>
      </c>
      <c r="F8" s="6" t="n">
        <v>1</v>
      </c>
      <c r="G8" s="8" t="n"/>
      <c r="H8" s="8">
        <f>G8*F8</f>
        <v/>
      </c>
    </row>
    <row r="9">
      <c r="A9" s="6" t="n">
        <v>4</v>
      </c>
      <c r="B9" s="7" t="inlineStr">
        <is>
          <t>Individualizado</t>
        </is>
      </c>
      <c r="C9" s="7" t="inlineStr">
        <is>
          <t>Individualizado</t>
        </is>
      </c>
      <c r="D9" s="7" t="inlineStr">
        <is>
          <t>Base Operacional Botafogo — Rio de Janeiro</t>
        </is>
      </c>
      <c r="E9" s="6" t="inlineStr">
        <is>
          <t>B1</t>
        </is>
      </c>
      <c r="F9" s="6" t="n">
        <v>1</v>
      </c>
      <c r="G9" s="8" t="n"/>
      <c r="H9" s="8">
        <f>G9*F9</f>
        <v/>
      </c>
    </row>
    <row r="10">
      <c r="A10" s="6" t="n">
        <v>5</v>
      </c>
      <c r="B10" s="7" t="inlineStr">
        <is>
          <t>Individualizado</t>
        </is>
      </c>
      <c r="C10" s="7" t="inlineStr">
        <is>
          <t>Individualizado</t>
        </is>
      </c>
      <c r="D10" s="7" t="inlineStr">
        <is>
          <t>ETE Pavuna (complexo) — Rio de Janeiro</t>
        </is>
      </c>
      <c r="E10" s="6" t="inlineStr">
        <is>
          <t>B4</t>
        </is>
      </c>
      <c r="F10" s="6" t="n">
        <v>3</v>
      </c>
      <c r="G10" s="8" t="n"/>
      <c r="H10" s="8">
        <f>G10*F10</f>
        <v/>
      </c>
    </row>
    <row r="11">
      <c r="A11" s="6" t="n">
        <v>6</v>
      </c>
      <c r="B11" s="7" t="inlineStr">
        <is>
          <t>Individualizado</t>
        </is>
      </c>
      <c r="C11" s="7" t="inlineStr">
        <is>
          <t>Individualizado</t>
        </is>
      </c>
      <c r="D11" s="7" t="inlineStr">
        <is>
          <t>ETE Ilha do Governador — Rio de Janeiro</t>
        </is>
      </c>
      <c r="E11" s="6" t="inlineStr">
        <is>
          <t>B4</t>
        </is>
      </c>
      <c r="F11" s="6" t="n">
        <v>1</v>
      </c>
      <c r="G11" s="8" t="n"/>
      <c r="H11" s="8">
        <f>G11*F11</f>
        <v/>
      </c>
    </row>
    <row r="12">
      <c r="A12" s="6" t="n">
        <v>7</v>
      </c>
      <c r="B12" s="7" t="inlineStr">
        <is>
          <t>Individualizado</t>
        </is>
      </c>
      <c r="C12" s="7" t="inlineStr">
        <is>
          <t>Individualizado</t>
        </is>
      </c>
      <c r="D12" s="7" t="inlineStr">
        <is>
          <t>Base Operacional Penha — Rio de Janeiro</t>
        </is>
      </c>
      <c r="E12" s="6" t="inlineStr">
        <is>
          <t>B4</t>
        </is>
      </c>
      <c r="F12" s="6" t="n">
        <v>1</v>
      </c>
      <c r="G12" s="8" t="n"/>
      <c r="H12" s="8">
        <f>G12*F12</f>
        <v/>
      </c>
    </row>
    <row r="13">
      <c r="A13" s="6" t="n">
        <v>8</v>
      </c>
      <c r="B13" s="7" t="inlineStr">
        <is>
          <t>Individualizado</t>
        </is>
      </c>
      <c r="C13" s="7" t="inlineStr">
        <is>
          <t>Individualizado</t>
        </is>
      </c>
      <c r="D13" s="7" t="inlineStr">
        <is>
          <t>Base Operacional Gávea — Rio de Janeiro</t>
        </is>
      </c>
      <c r="E13" s="6" t="inlineStr">
        <is>
          <t>B1</t>
        </is>
      </c>
      <c r="F13" s="6" t="n">
        <v>1</v>
      </c>
      <c r="G13" s="8" t="n"/>
      <c r="H13" s="8">
        <f>G13*F13</f>
        <v/>
      </c>
    </row>
    <row r="14">
      <c r="A14" s="6" t="n">
        <v>9</v>
      </c>
      <c r="B14" s="7" t="inlineStr">
        <is>
          <t>Individualizado</t>
        </is>
      </c>
      <c r="C14" s="7" t="inlineStr">
        <is>
          <t>Individualizado</t>
        </is>
      </c>
      <c r="D14" s="7" t="inlineStr">
        <is>
          <t>Base Operacional São Gonçalo — São Gonçalo</t>
        </is>
      </c>
      <c r="E14" s="6" t="inlineStr">
        <is>
          <t>B1</t>
        </is>
      </c>
      <c r="F14" s="6" t="n">
        <v>1</v>
      </c>
      <c r="G14" s="8" t="n"/>
      <c r="H14" s="8">
        <f>G14*F14</f>
        <v/>
      </c>
    </row>
    <row r="15">
      <c r="A15" s="6" t="n">
        <v>10</v>
      </c>
      <c r="B15" s="7" t="inlineStr">
        <is>
          <t>Individualizado</t>
        </is>
      </c>
      <c r="C15" s="7" t="inlineStr">
        <is>
          <t>Individualizado</t>
        </is>
      </c>
      <c r="D15" s="7" t="inlineStr">
        <is>
          <t>Reservatório Vilar dos Teles — São João de Meriti</t>
        </is>
      </c>
      <c r="E15" s="6" t="inlineStr">
        <is>
          <t>B4</t>
        </is>
      </c>
      <c r="F15" s="6" t="n">
        <v>1</v>
      </c>
      <c r="G15" s="8" t="n"/>
      <c r="H15" s="8">
        <f>G15*F15</f>
        <v/>
      </c>
    </row>
    <row r="16">
      <c r="A16" s="6" t="n">
        <v>11</v>
      </c>
      <c r="B16" s="7" t="inlineStr">
        <is>
          <t>Individualizado</t>
        </is>
      </c>
      <c r="C16" s="7" t="inlineStr">
        <is>
          <t>Individualizado</t>
        </is>
      </c>
      <c r="D16" s="7" t="inlineStr">
        <is>
          <t>Base Operacional Penha II — Rio de Janeiro</t>
        </is>
      </c>
      <c r="E16" s="6" t="inlineStr">
        <is>
          <t>B4</t>
        </is>
      </c>
      <c r="F16" s="6" t="n">
        <v>1</v>
      </c>
      <c r="G16" s="8" t="n"/>
      <c r="H16" s="8">
        <f>G16*F16</f>
        <v/>
      </c>
    </row>
    <row r="17">
      <c r="A17" s="6" t="n">
        <v>12</v>
      </c>
      <c r="B17" s="7" t="inlineStr">
        <is>
          <t>Individualizado</t>
        </is>
      </c>
      <c r="C17" s="7" t="inlineStr">
        <is>
          <t>Individualizado</t>
        </is>
      </c>
      <c r="D17" s="7" t="inlineStr">
        <is>
          <t>EEE André Azevedo — Rio de Janeiro</t>
        </is>
      </c>
      <c r="E17" s="6" t="inlineStr">
        <is>
          <t>B1</t>
        </is>
      </c>
      <c r="F17" s="6" t="n">
        <v>1</v>
      </c>
      <c r="G17" s="8" t="n"/>
      <c r="H17" s="8">
        <f>G17*F17</f>
        <v/>
      </c>
    </row>
    <row r="18">
      <c r="A18" s="6" t="n">
        <v>13</v>
      </c>
      <c r="B18" s="7" t="inlineStr">
        <is>
          <t>Individualizado</t>
        </is>
      </c>
      <c r="C18" s="7" t="inlineStr">
        <is>
          <t>Individualizado</t>
        </is>
      </c>
      <c r="D18" s="7" t="inlineStr">
        <is>
          <t>Base Operacional Engenho de Dentro — Rio de Janeiro</t>
        </is>
      </c>
      <c r="E18" s="6" t="inlineStr">
        <is>
          <t>B4</t>
        </is>
      </c>
      <c r="F18" s="6" t="n">
        <v>1</v>
      </c>
      <c r="G18" s="8" t="n"/>
      <c r="H18" s="8">
        <f>G18*F18</f>
        <v/>
      </c>
    </row>
    <row r="19">
      <c r="A19" s="6" t="n">
        <v>14</v>
      </c>
      <c r="B19" s="7" t="inlineStr">
        <is>
          <t>Individualizado</t>
        </is>
      </c>
      <c r="C19" s="7" t="inlineStr">
        <is>
          <t>Individualizado</t>
        </is>
      </c>
      <c r="D19" s="7" t="inlineStr">
        <is>
          <t>ETE Aperibé — Aperibé</t>
        </is>
      </c>
      <c r="E19" s="6" t="inlineStr">
        <is>
          <t>B1</t>
        </is>
      </c>
      <c r="F19" s="6" t="n">
        <v>1</v>
      </c>
      <c r="G19" s="8" t="n"/>
      <c r="H19" s="8">
        <f>G19*F19</f>
        <v/>
      </c>
    </row>
    <row r="20">
      <c r="A20" s="6" t="n">
        <v>15</v>
      </c>
      <c r="B20" s="7" t="inlineStr">
        <is>
          <t>Individualizado</t>
        </is>
      </c>
      <c r="C20" s="7" t="inlineStr">
        <is>
          <t>Individualizado</t>
        </is>
      </c>
      <c r="D20" s="7" t="inlineStr">
        <is>
          <t>ETE Penha — Rio de Janeiro</t>
        </is>
      </c>
      <c r="E20" s="6" t="inlineStr">
        <is>
          <t>B4</t>
        </is>
      </c>
      <c r="F20" s="6" t="n">
        <v>1</v>
      </c>
      <c r="G20" s="8" t="n"/>
      <c r="H20" s="8">
        <f>G20*F20</f>
        <v/>
      </c>
    </row>
    <row r="21">
      <c r="A21" s="6" t="n">
        <v>16</v>
      </c>
      <c r="B21" s="7" t="inlineStr">
        <is>
          <t>Individualizado</t>
        </is>
      </c>
      <c r="C21" s="7" t="inlineStr">
        <is>
          <t>Individualizado</t>
        </is>
      </c>
      <c r="D21" s="7" t="inlineStr">
        <is>
          <t>Sede Caxias — Duque de Caxias</t>
        </is>
      </c>
      <c r="E21" s="6" t="inlineStr">
        <is>
          <t>B4</t>
        </is>
      </c>
      <c r="F21" s="6" t="n">
        <v>1</v>
      </c>
      <c r="G21" s="8" t="n"/>
      <c r="H21" s="8">
        <f>G21*F21</f>
        <v/>
      </c>
    </row>
    <row r="22">
      <c r="A22" s="6" t="n">
        <v>17</v>
      </c>
      <c r="B22" s="7" t="inlineStr">
        <is>
          <t>Individualizado</t>
        </is>
      </c>
      <c r="C22" s="7" t="inlineStr">
        <is>
          <t>Individualizado</t>
        </is>
      </c>
      <c r="D22" s="7" t="inlineStr">
        <is>
          <t>Sede Nova Iguaçu — Nova Iguaçu</t>
        </is>
      </c>
      <c r="E22" s="6" t="inlineStr">
        <is>
          <t>B4</t>
        </is>
      </c>
      <c r="F22" s="6" t="n">
        <v>1</v>
      </c>
      <c r="G22" s="8" t="n"/>
      <c r="H22" s="8">
        <f>G22*F22</f>
        <v/>
      </c>
    </row>
    <row r="23">
      <c r="A23" s="6" t="n">
        <v>18</v>
      </c>
      <c r="B23" s="7" t="inlineStr">
        <is>
          <t>Individualizado</t>
        </is>
      </c>
      <c r="C23" s="7" t="inlineStr">
        <is>
          <t>Individualizado</t>
        </is>
      </c>
      <c r="D23" s="7" t="inlineStr">
        <is>
          <t>ETA Rio Bonito — Rio Bonito</t>
        </is>
      </c>
      <c r="E23" s="6" t="inlineStr">
        <is>
          <t>B1</t>
        </is>
      </c>
      <c r="F23" s="6" t="n">
        <v>1</v>
      </c>
      <c r="G23" s="8" t="n"/>
      <c r="H23" s="8">
        <f>G23*F23</f>
        <v/>
      </c>
    </row>
    <row r="24">
      <c r="A24" s="6" t="n">
        <v>19</v>
      </c>
      <c r="B24" s="7" t="inlineStr">
        <is>
          <t>Individualizado</t>
        </is>
      </c>
      <c r="C24" s="7" t="inlineStr">
        <is>
          <t>Individualizado</t>
        </is>
      </c>
      <c r="D24" s="7" t="inlineStr">
        <is>
          <t>Sede Belford Roxo — Belford Roxo</t>
        </is>
      </c>
      <c r="E24" s="6" t="inlineStr">
        <is>
          <t>B4</t>
        </is>
      </c>
      <c r="F24" s="6" t="n">
        <v>1</v>
      </c>
      <c r="G24" s="8" t="n"/>
      <c r="H24" s="8">
        <f>G24*F24</f>
        <v/>
      </c>
    </row>
    <row r="25">
      <c r="A25" s="6" t="n">
        <v>20</v>
      </c>
      <c r="B25" s="7" t="inlineStr">
        <is>
          <t>Individualizado</t>
        </is>
      </c>
      <c r="C25" s="7" t="inlineStr">
        <is>
          <t>Individualizado</t>
        </is>
      </c>
      <c r="D25" s="7" t="inlineStr">
        <is>
          <t>Base Operacional Maré — Rio de Janeiro</t>
        </is>
      </c>
      <c r="E25" s="6" t="inlineStr">
        <is>
          <t>B4</t>
        </is>
      </c>
      <c r="F25" s="6" t="n">
        <v>1</v>
      </c>
      <c r="G25" s="8" t="n"/>
      <c r="H25" s="8">
        <f>G25*F25</f>
        <v/>
      </c>
    </row>
    <row r="26">
      <c r="A26" s="6" t="n">
        <v>21</v>
      </c>
      <c r="B26" s="7" t="inlineStr">
        <is>
          <t>Individualizado</t>
        </is>
      </c>
      <c r="C26" s="7" t="inlineStr">
        <is>
          <t>Individualizado</t>
        </is>
      </c>
      <c r="D26" s="7" t="inlineStr">
        <is>
          <t>ETE Cordeiro — Cordeiro</t>
        </is>
      </c>
      <c r="E26" s="6" t="inlineStr">
        <is>
          <t>B1</t>
        </is>
      </c>
      <c r="F26" s="6" t="n">
        <v>1</v>
      </c>
      <c r="G26" s="8" t="n"/>
      <c r="H26" s="8">
        <f>G26*F26</f>
        <v/>
      </c>
    </row>
    <row r="27">
      <c r="A27" s="6" t="n">
        <v>22</v>
      </c>
      <c r="B27" s="7" t="inlineStr">
        <is>
          <t>Individualizado</t>
        </is>
      </c>
      <c r="C27" s="7" t="inlineStr">
        <is>
          <t>Individualizado</t>
        </is>
      </c>
      <c r="D27" s="7" t="inlineStr">
        <is>
          <t>Sede Nilópolis — Nilópolis</t>
        </is>
      </c>
      <c r="E27" s="6" t="inlineStr">
        <is>
          <t>B4</t>
        </is>
      </c>
      <c r="F27" s="6" t="n">
        <v>1</v>
      </c>
      <c r="G27" s="8" t="n"/>
      <c r="H27" s="8">
        <f>G27*F27</f>
        <v/>
      </c>
    </row>
    <row r="28">
      <c r="A28" s="6" t="n">
        <v>23</v>
      </c>
      <c r="B28" s="7" t="inlineStr">
        <is>
          <t>Individualizado</t>
        </is>
      </c>
      <c r="C28" s="7" t="inlineStr">
        <is>
          <t>Individualizado</t>
        </is>
      </c>
      <c r="D28" s="7" t="inlineStr">
        <is>
          <t>ETA Monnerat — Duas Barras</t>
        </is>
      </c>
      <c r="E28" s="6" t="inlineStr">
        <is>
          <t>B1</t>
        </is>
      </c>
      <c r="F28" s="6" t="n">
        <v>1</v>
      </c>
      <c r="G28" s="8" t="n"/>
      <c r="H28" s="8">
        <f>G28*F28</f>
        <v/>
      </c>
    </row>
    <row r="29">
      <c r="A29" s="6" t="n">
        <v>24</v>
      </c>
      <c r="B29" s="7" t="inlineStr">
        <is>
          <t>Individualizado</t>
        </is>
      </c>
      <c r="C29" s="7" t="inlineStr">
        <is>
          <t>Individualizado</t>
        </is>
      </c>
      <c r="D29" s="7" t="inlineStr">
        <is>
          <t>Sede S.J. de Meriti (+ Res. Coelho da Rocha) — São João de Meriti</t>
        </is>
      </c>
      <c r="E29" s="6" t="inlineStr">
        <is>
          <t>B4</t>
        </is>
      </c>
      <c r="F29" s="6" t="n">
        <v>2</v>
      </c>
      <c r="G29" s="8" t="n"/>
      <c r="H29" s="8">
        <f>G29*F29</f>
        <v/>
      </c>
    </row>
    <row r="30">
      <c r="A30" s="6" t="n">
        <v>25</v>
      </c>
      <c r="B30" s="7" t="inlineStr">
        <is>
          <t>Individualizado</t>
        </is>
      </c>
      <c r="C30" s="7" t="inlineStr">
        <is>
          <t>Individualizado</t>
        </is>
      </c>
      <c r="D30" s="7" t="inlineStr">
        <is>
          <t>ETA Sede III — Itaocara</t>
        </is>
      </c>
      <c r="E30" s="6" t="inlineStr">
        <is>
          <t>B1</t>
        </is>
      </c>
      <c r="F30" s="6" t="n">
        <v>1</v>
      </c>
      <c r="G30" s="8" t="n"/>
      <c r="H30" s="8">
        <f>G30*F30</f>
        <v/>
      </c>
    </row>
    <row r="31">
      <c r="A31" s="6" t="n">
        <v>26</v>
      </c>
      <c r="B31" s="7" t="inlineStr">
        <is>
          <t>Individualizado</t>
        </is>
      </c>
      <c r="C31" s="7" t="inlineStr">
        <is>
          <t>Individualizado</t>
        </is>
      </c>
      <c r="D31" s="7" t="inlineStr">
        <is>
          <t>ETA Cordeiro — Cordeiro</t>
        </is>
      </c>
      <c r="E31" s="6" t="inlineStr">
        <is>
          <t>B1</t>
        </is>
      </c>
      <c r="F31" s="6" t="n">
        <v>1</v>
      </c>
      <c r="G31" s="8" t="n"/>
      <c r="H31" s="8">
        <f>G31*F31</f>
        <v/>
      </c>
    </row>
    <row r="32">
      <c r="A32" s="6" t="n">
        <v>27</v>
      </c>
      <c r="B32" s="7" t="inlineStr">
        <is>
          <t>Individualizado</t>
        </is>
      </c>
      <c r="C32" s="7" t="inlineStr">
        <is>
          <t>Individualizado</t>
        </is>
      </c>
      <c r="D32" s="7" t="inlineStr">
        <is>
          <t>ETE Lagoinha — Nova Iguaçu</t>
        </is>
      </c>
      <c r="E32" s="6" t="inlineStr">
        <is>
          <t>B4</t>
        </is>
      </c>
      <c r="F32" s="6" t="n">
        <v>1</v>
      </c>
      <c r="G32" s="8" t="n"/>
      <c r="H32" s="8">
        <f>G32*F32</f>
        <v/>
      </c>
    </row>
    <row r="33">
      <c r="A33" s="6" t="n">
        <v>28</v>
      </c>
      <c r="B33" s="7" t="inlineStr">
        <is>
          <t>Individualizado</t>
        </is>
      </c>
      <c r="C33" s="7" t="inlineStr">
        <is>
          <t>Individualizado</t>
        </is>
      </c>
      <c r="D33" s="7" t="inlineStr">
        <is>
          <t>ETE Sarapuí — Belford Roxo</t>
        </is>
      </c>
      <c r="E33" s="6" t="inlineStr">
        <is>
          <t>B4</t>
        </is>
      </c>
      <c r="F33" s="6" t="n">
        <v>1</v>
      </c>
      <c r="G33" s="8" t="n"/>
      <c r="H33" s="8">
        <f>G33*F33</f>
        <v/>
      </c>
    </row>
    <row r="34">
      <c r="A34" s="6" t="n">
        <v>29</v>
      </c>
      <c r="B34" s="7" t="inlineStr">
        <is>
          <t>Individualizado</t>
        </is>
      </c>
      <c r="C34" s="7" t="inlineStr">
        <is>
          <t>Individualizado</t>
        </is>
      </c>
      <c r="D34" s="7" t="inlineStr">
        <is>
          <t>ETA Aperibé — Aperibé</t>
        </is>
      </c>
      <c r="E34" s="6" t="inlineStr">
        <is>
          <t>B1</t>
        </is>
      </c>
      <c r="F34" s="6" t="n">
        <v>1</v>
      </c>
      <c r="G34" s="8" t="n"/>
      <c r="H34" s="8">
        <f>G34*F34</f>
        <v/>
      </c>
    </row>
    <row r="35">
      <c r="A35" s="6" t="n">
        <v>30</v>
      </c>
      <c r="B35" s="7" t="inlineStr">
        <is>
          <t>Individualizado</t>
        </is>
      </c>
      <c r="C35" s="7" t="inlineStr">
        <is>
          <t>Individualizado</t>
        </is>
      </c>
      <c r="D35" s="7" t="inlineStr">
        <is>
          <t>ETA Jaconé — Saquarema</t>
        </is>
      </c>
      <c r="E35" s="6" t="inlineStr">
        <is>
          <t>B1</t>
        </is>
      </c>
      <c r="F35" s="6" t="n">
        <v>1</v>
      </c>
      <c r="G35" s="8" t="n"/>
      <c r="H35" s="8">
        <f>G35*F35</f>
        <v/>
      </c>
    </row>
    <row r="36">
      <c r="A36" s="4" t="inlineStr">
        <is>
          <t>ITEM 01 — PGRS AGRUPADOS / MUNICIPAIS (15 planos)</t>
        </is>
      </c>
      <c r="G36" s="5" t="n"/>
      <c r="H36" s="5" t="n"/>
    </row>
    <row r="37">
      <c r="A37" s="6" t="n">
        <v>31</v>
      </c>
      <c r="B37" s="7" t="inlineStr">
        <is>
          <t>PGRS-AG-01</t>
        </is>
      </c>
      <c r="C37" s="7" t="inlineStr">
        <is>
          <t>Agrupado/Municipal</t>
        </is>
      </c>
      <c r="D37" s="7" t="inlineStr">
        <is>
          <t>Rio de Janeiro – Rio Centro Sul</t>
        </is>
      </c>
      <c r="E37" s="6" t="inlineStr">
        <is>
          <t>B1 e B4</t>
        </is>
      </c>
      <c r="F37" s="6" t="n">
        <v>11</v>
      </c>
      <c r="G37" s="8" t="n"/>
      <c r="H37" s="8">
        <f>G37*F37</f>
        <v/>
      </c>
    </row>
    <row r="38">
      <c r="A38" s="6" t="n">
        <v>32</v>
      </c>
      <c r="B38" s="7" t="inlineStr">
        <is>
          <t>PGRS-AG-02</t>
        </is>
      </c>
      <c r="C38" s="7" t="inlineStr">
        <is>
          <t>Agrupado/Municipal</t>
        </is>
      </c>
      <c r="D38" s="7" t="inlineStr">
        <is>
          <t>Rio de Janeiro – Rio Norte</t>
        </is>
      </c>
      <c r="E38" s="6" t="inlineStr">
        <is>
          <t>B4</t>
        </is>
      </c>
      <c r="F38" s="6" t="n">
        <v>5</v>
      </c>
      <c r="G38" s="8" t="n"/>
      <c r="H38" s="8">
        <f>G38*F38</f>
        <v/>
      </c>
    </row>
    <row r="39">
      <c r="A39" s="6" t="n">
        <v>33</v>
      </c>
      <c r="B39" s="7" t="inlineStr">
        <is>
          <t>PGRS-AG-03</t>
        </is>
      </c>
      <c r="C39" s="7" t="inlineStr">
        <is>
          <t>Agrupado/Municipal</t>
        </is>
      </c>
      <c r="D39" s="7" t="inlineStr">
        <is>
          <t>Duque de Caxias</t>
        </is>
      </c>
      <c r="E39" s="6" t="inlineStr">
        <is>
          <t>B4</t>
        </is>
      </c>
      <c r="F39" s="6" t="n">
        <v>6</v>
      </c>
      <c r="G39" s="8" t="n"/>
      <c r="H39" s="8">
        <f>G39*F39</f>
        <v/>
      </c>
    </row>
    <row r="40">
      <c r="A40" s="6" t="n">
        <v>34</v>
      </c>
      <c r="B40" s="7" t="inlineStr">
        <is>
          <t>PGRS-AG-04</t>
        </is>
      </c>
      <c r="C40" s="7" t="inlineStr">
        <is>
          <t>Agrupado/Municipal</t>
        </is>
      </c>
      <c r="D40" s="7" t="inlineStr">
        <is>
          <t>São Gonçalo</t>
        </is>
      </c>
      <c r="E40" s="6" t="inlineStr">
        <is>
          <t>B1</t>
        </is>
      </c>
      <c r="F40" s="6" t="n">
        <v>4</v>
      </c>
      <c r="G40" s="8" t="n"/>
      <c r="H40" s="8">
        <f>G40*F40</f>
        <v/>
      </c>
    </row>
    <row r="41">
      <c r="A41" s="6" t="n">
        <v>35</v>
      </c>
      <c r="B41" s="7" t="inlineStr">
        <is>
          <t>PGRS-AG-05</t>
        </is>
      </c>
      <c r="C41" s="7" t="inlineStr">
        <is>
          <t>Agrupado/Municipal</t>
        </is>
      </c>
      <c r="D41" s="7" t="inlineStr">
        <is>
          <t>Itaboraí</t>
        </is>
      </c>
      <c r="E41" s="6" t="inlineStr">
        <is>
          <t>B1</t>
        </is>
      </c>
      <c r="F41" s="6" t="n">
        <v>4</v>
      </c>
      <c r="G41" s="8" t="n"/>
      <c r="H41" s="8">
        <f>G41*F41</f>
        <v/>
      </c>
    </row>
    <row r="42">
      <c r="A42" s="6" t="n">
        <v>36</v>
      </c>
      <c r="B42" s="7" t="inlineStr">
        <is>
          <t>PGRS-AG-06</t>
        </is>
      </c>
      <c r="C42" s="7" t="inlineStr">
        <is>
          <t>Agrupado/Municipal</t>
        </is>
      </c>
      <c r="D42" s="7" t="inlineStr">
        <is>
          <t>Rio de Janeiro – Comunidades</t>
        </is>
      </c>
      <c r="E42" s="6" t="inlineStr">
        <is>
          <t>B1 e B4</t>
        </is>
      </c>
      <c r="F42" s="6" t="n">
        <v>3</v>
      </c>
      <c r="G42" s="8" t="n"/>
      <c r="H42" s="8">
        <f>G42*F42</f>
        <v/>
      </c>
    </row>
    <row r="43">
      <c r="A43" s="6" t="n">
        <v>37</v>
      </c>
      <c r="B43" s="7" t="inlineStr">
        <is>
          <t>PGRS-AG-07</t>
        </is>
      </c>
      <c r="C43" s="7" t="inlineStr">
        <is>
          <t>Agrupado/Municipal</t>
        </is>
      </c>
      <c r="D43" s="7" t="inlineStr">
        <is>
          <t>Magé</t>
        </is>
      </c>
      <c r="E43" s="6" t="inlineStr">
        <is>
          <t>B1</t>
        </is>
      </c>
      <c r="F43" s="6" t="n">
        <v>3</v>
      </c>
      <c r="G43" s="8" t="n"/>
      <c r="H43" s="8">
        <f>G43*F43</f>
        <v/>
      </c>
    </row>
    <row r="44">
      <c r="A44" s="6" t="n">
        <v>38</v>
      </c>
      <c r="B44" s="7" t="inlineStr">
        <is>
          <t>PGRS-AG-08</t>
        </is>
      </c>
      <c r="C44" s="7" t="inlineStr">
        <is>
          <t>Agrupado/Municipal</t>
        </is>
      </c>
      <c r="D44" s="7" t="inlineStr">
        <is>
          <t>Mesquita</t>
        </is>
      </c>
      <c r="E44" s="6" t="inlineStr">
        <is>
          <t>B4</t>
        </is>
      </c>
      <c r="F44" s="6" t="n">
        <v>3</v>
      </c>
      <c r="G44" s="8" t="n"/>
      <c r="H44" s="8">
        <f>G44*F44</f>
        <v/>
      </c>
    </row>
    <row r="45">
      <c r="A45" s="6" t="n">
        <v>39</v>
      </c>
      <c r="B45" s="7" t="inlineStr">
        <is>
          <t>PGRS-AG-09</t>
        </is>
      </c>
      <c r="C45" s="7" t="inlineStr">
        <is>
          <t>Agrupado/Municipal</t>
        </is>
      </c>
      <c r="D45" s="7" t="inlineStr">
        <is>
          <t>Tanguá</t>
        </is>
      </c>
      <c r="E45" s="6" t="inlineStr">
        <is>
          <t>B1</t>
        </is>
      </c>
      <c r="F45" s="6" t="n">
        <v>2</v>
      </c>
      <c r="G45" s="8" t="n"/>
      <c r="H45" s="8">
        <f>G45*F45</f>
        <v/>
      </c>
    </row>
    <row r="46">
      <c r="A46" s="6" t="n">
        <v>40</v>
      </c>
      <c r="B46" s="7" t="inlineStr">
        <is>
          <t>PGRS-AG-10</t>
        </is>
      </c>
      <c r="C46" s="7" t="inlineStr">
        <is>
          <t>Agrupado/Municipal</t>
        </is>
      </c>
      <c r="D46" s="7" t="inlineStr">
        <is>
          <t>Miracema</t>
        </is>
      </c>
      <c r="E46" s="6" t="inlineStr">
        <is>
          <t>B1</t>
        </is>
      </c>
      <c r="F46" s="6" t="n">
        <v>2</v>
      </c>
      <c r="G46" s="8" t="n"/>
      <c r="H46" s="8">
        <f>G46*F46</f>
        <v/>
      </c>
    </row>
    <row r="47">
      <c r="A47" s="6" t="n">
        <v>41</v>
      </c>
      <c r="B47" s="7" t="inlineStr">
        <is>
          <t>PGRS-AG-11</t>
        </is>
      </c>
      <c r="C47" s="7" t="inlineStr">
        <is>
          <t>Agrupado/Municipal</t>
        </is>
      </c>
      <c r="D47" s="7" t="inlineStr">
        <is>
          <t>São Francisco de Itabapoana</t>
        </is>
      </c>
      <c r="E47" s="6" t="inlineStr">
        <is>
          <t>B1</t>
        </is>
      </c>
      <c r="F47" s="6" t="n">
        <v>2</v>
      </c>
      <c r="G47" s="8" t="n"/>
      <c r="H47" s="8">
        <f>G47*F47</f>
        <v/>
      </c>
    </row>
    <row r="48">
      <c r="A48" s="6" t="n">
        <v>42</v>
      </c>
      <c r="B48" s="7" t="inlineStr">
        <is>
          <t>PGRS-AG-12</t>
        </is>
      </c>
      <c r="C48" s="7" t="inlineStr">
        <is>
          <t>Agrupado/Municipal</t>
        </is>
      </c>
      <c r="D48" s="7" t="inlineStr">
        <is>
          <t>Rio de Janeiro – Leste</t>
        </is>
      </c>
      <c r="E48" s="6" t="inlineStr">
        <is>
          <t>B4</t>
        </is>
      </c>
      <c r="F48" s="6" t="n">
        <v>2</v>
      </c>
      <c r="G48" s="8" t="n"/>
      <c r="H48" s="8">
        <f>G48*F48</f>
        <v/>
      </c>
    </row>
    <row r="49">
      <c r="A49" s="6" t="n">
        <v>43</v>
      </c>
      <c r="B49" s="7" t="inlineStr">
        <is>
          <t>PGRS-AG-13</t>
        </is>
      </c>
      <c r="C49" s="7" t="inlineStr">
        <is>
          <t>Agrupado/Municipal</t>
        </is>
      </c>
      <c r="D49" s="7" t="inlineStr">
        <is>
          <t>Maricá</t>
        </is>
      </c>
      <c r="E49" s="6" t="inlineStr">
        <is>
          <t>B1</t>
        </is>
      </c>
      <c r="F49" s="6" t="n">
        <v>5</v>
      </c>
      <c r="G49" s="8" t="n"/>
      <c r="H49" s="8">
        <f>G49*F49</f>
        <v/>
      </c>
    </row>
    <row r="50">
      <c r="A50" s="6" t="n">
        <v>44</v>
      </c>
      <c r="B50" s="7" t="inlineStr">
        <is>
          <t>PGRS-AG-14</t>
        </is>
      </c>
      <c r="C50" s="7" t="inlineStr">
        <is>
          <t>Agrupado/Municipal</t>
        </is>
      </c>
      <c r="D50" s="7" t="inlineStr">
        <is>
          <t>Queimados</t>
        </is>
      </c>
      <c r="E50" s="6" t="inlineStr">
        <is>
          <t>B4</t>
        </is>
      </c>
      <c r="F50" s="6" t="n">
        <v>3</v>
      </c>
      <c r="G50" s="8" t="n"/>
      <c r="H50" s="8">
        <f>G50*F50</f>
        <v/>
      </c>
    </row>
    <row r="51">
      <c r="A51" s="6" t="n">
        <v>45</v>
      </c>
      <c r="B51" s="7" t="inlineStr">
        <is>
          <t>PGRS-AG-15</t>
        </is>
      </c>
      <c r="C51" s="7" t="inlineStr">
        <is>
          <t>Agrupado/Municipal</t>
        </is>
      </c>
      <c r="D51" s="7" t="inlineStr">
        <is>
          <t>São Sebastião do Alto</t>
        </is>
      </c>
      <c r="E51" s="6" t="inlineStr">
        <is>
          <t>B1</t>
        </is>
      </c>
      <c r="F51" s="6" t="n">
        <v>5</v>
      </c>
      <c r="G51" s="8" t="n"/>
      <c r="H51" s="8">
        <f>G51*F51</f>
        <v/>
      </c>
    </row>
    <row r="52">
      <c r="A52" s="4" t="inlineStr">
        <is>
          <t>ITEM 01 — PGRS REGIONAIS (8 planos)</t>
        </is>
      </c>
      <c r="G52" s="5" t="n"/>
      <c r="H52" s="5" t="n"/>
    </row>
    <row r="53">
      <c r="A53" s="6" t="n">
        <v>46</v>
      </c>
      <c r="B53" s="7" t="inlineStr">
        <is>
          <t>PGRS-REG-01</t>
        </is>
      </c>
      <c r="C53" s="7" t="inlineStr">
        <is>
          <t>Regional</t>
        </is>
      </c>
      <c r="D53" s="7" t="inlineStr">
        <is>
          <t>RJ – Rio Norte (pequeno porte)</t>
        </is>
      </c>
      <c r="E53" s="6" t="inlineStr">
        <is>
          <t>B4</t>
        </is>
      </c>
      <c r="F53" s="6" t="n">
        <v>9</v>
      </c>
      <c r="G53" s="8" t="n"/>
      <c r="H53" s="8">
        <f>G53*F53</f>
        <v/>
      </c>
    </row>
    <row r="54">
      <c r="A54" s="6" t="n">
        <v>47</v>
      </c>
      <c r="B54" s="7" t="inlineStr">
        <is>
          <t>PGRS-REG-02</t>
        </is>
      </c>
      <c r="C54" s="7" t="inlineStr">
        <is>
          <t>Regional</t>
        </is>
      </c>
      <c r="D54" s="7" t="inlineStr">
        <is>
          <t>RJ – Rio Centro Sul e Comunidades (pequeno porte)</t>
        </is>
      </c>
      <c r="E54" s="6" t="inlineStr">
        <is>
          <t>B1 e B4</t>
        </is>
      </c>
      <c r="F54" s="6" t="n">
        <v>8</v>
      </c>
      <c r="G54" s="8" t="n"/>
      <c r="H54" s="8">
        <f>G54*F54</f>
        <v/>
      </c>
    </row>
    <row r="55">
      <c r="A55" s="6" t="n">
        <v>48</v>
      </c>
      <c r="B55" s="7" t="inlineStr">
        <is>
          <t>PGRS-REG-03</t>
        </is>
      </c>
      <c r="C55" s="7" t="inlineStr">
        <is>
          <t>Regional</t>
        </is>
      </c>
      <c r="D55" s="7" t="inlineStr">
        <is>
          <t>Leste Metropolitano – São Gonçalo, Itaboraí e Tanguá</t>
        </is>
      </c>
      <c r="E55" s="6" t="inlineStr">
        <is>
          <t>B1</t>
        </is>
      </c>
      <c r="F55" s="6" t="n">
        <v>7</v>
      </c>
      <c r="G55" s="8" t="n"/>
      <c r="H55" s="8">
        <f>G55*F55</f>
        <v/>
      </c>
    </row>
    <row r="56">
      <c r="A56" s="6" t="n">
        <v>49</v>
      </c>
      <c r="B56" s="7" t="inlineStr">
        <is>
          <t>PGRS-REG-04</t>
        </is>
      </c>
      <c r="C56" s="7" t="inlineStr">
        <is>
          <t>Regional</t>
        </is>
      </c>
      <c r="D56" s="7" t="inlineStr">
        <is>
          <t>Lagos e Litoral – Saquarema, Rio Bonito e Casimiro de Abreu</t>
        </is>
      </c>
      <c r="E56" s="6" t="inlineStr">
        <is>
          <t>B1</t>
        </is>
      </c>
      <c r="F56" s="6" t="n">
        <v>9</v>
      </c>
      <c r="G56" s="8" t="n"/>
      <c r="H56" s="8">
        <f>G56*F56</f>
        <v/>
      </c>
    </row>
    <row r="57">
      <c r="A57" s="6" t="n">
        <v>50</v>
      </c>
      <c r="B57" s="7" t="inlineStr">
        <is>
          <t>PGRS-REG-05</t>
        </is>
      </c>
      <c r="C57" s="7" t="inlineStr">
        <is>
          <t>Regional</t>
        </is>
      </c>
      <c r="D57" s="7" t="inlineStr">
        <is>
          <t>Baixada Fluminense – Nova Iguaçu</t>
        </is>
      </c>
      <c r="E57" s="6" t="inlineStr">
        <is>
          <t>B4</t>
        </is>
      </c>
      <c r="F57" s="6" t="n">
        <v>16</v>
      </c>
      <c r="G57" s="8" t="n"/>
      <c r="H57" s="8">
        <f>G57*F57</f>
        <v/>
      </c>
    </row>
    <row r="58">
      <c r="A58" s="6" t="n">
        <v>51</v>
      </c>
      <c r="B58" s="7" t="inlineStr">
        <is>
          <t>PGRS-REG-06</t>
        </is>
      </c>
      <c r="C58" s="7" t="inlineStr">
        <is>
          <t>Regional</t>
        </is>
      </c>
      <c r="D58" s="7" t="inlineStr">
        <is>
          <t>Baixada Fluminense – Duque de Caxias, Nilópolis, Japeri e Mesquita</t>
        </is>
      </c>
      <c r="E58" s="6" t="inlineStr">
        <is>
          <t>B4</t>
        </is>
      </c>
      <c r="F58" s="6" t="n">
        <v>9</v>
      </c>
      <c r="G58" s="8" t="n"/>
      <c r="H58" s="8">
        <f>G58*F58</f>
        <v/>
      </c>
    </row>
    <row r="59">
      <c r="A59" s="6" t="n">
        <v>52</v>
      </c>
      <c r="B59" s="7" t="inlineStr">
        <is>
          <t>PGRS-REG-07</t>
        </is>
      </c>
      <c r="C59" s="7" t="inlineStr">
        <is>
          <t>Regional</t>
        </is>
      </c>
      <c r="D59" s="7" t="inlineStr">
        <is>
          <t>Serrana / Centro-Norte – Cordeiro, Cantagalo, Duas Barras e Cach. de Macacu</t>
        </is>
      </c>
      <c r="E59" s="6" t="inlineStr">
        <is>
          <t>B1</t>
        </is>
      </c>
      <c r="F59" s="6" t="n">
        <v>10</v>
      </c>
      <c r="G59" s="8" t="n"/>
      <c r="H59" s="8">
        <f>G59*F59</f>
        <v/>
      </c>
    </row>
    <row r="60">
      <c r="A60" s="6" t="n">
        <v>53</v>
      </c>
      <c r="B60" s="7" t="inlineStr">
        <is>
          <t>PGRS-REG-08</t>
        </is>
      </c>
      <c r="C60" s="7" t="inlineStr">
        <is>
          <t>Regional</t>
        </is>
      </c>
      <c r="D60" s="7" t="inlineStr">
        <is>
          <t>Noroeste Fluminense – Itaocara, Miracema, Aperibé, Cambuci e S.F. de Itabapoana</t>
        </is>
      </c>
      <c r="E60" s="6" t="inlineStr">
        <is>
          <t>B1</t>
        </is>
      </c>
      <c r="F60" s="6" t="n">
        <v>18</v>
      </c>
      <c r="G60" s="8" t="n"/>
      <c r="H60" s="8">
        <f>G60*F60</f>
        <v/>
      </c>
    </row>
    <row r="61">
      <c r="D61" s="9" t="inlineStr">
        <is>
          <t>SUBTOTAL ITEM 01 (53 PGRS / 179 unidades)</t>
        </is>
      </c>
      <c r="G61" s="5" t="n"/>
      <c r="H61" s="10">
        <f>SUM(H5:H60)</f>
        <v/>
      </c>
    </row>
    <row r="62">
      <c r="A62" s="4" t="inlineStr">
        <is>
          <t>ITEM 02 — VISITAS TÉCNICAS AMOSTRAIS (OPCIONAL)</t>
        </is>
      </c>
      <c r="G62" s="5" t="n"/>
      <c r="H62" s="5" t="n"/>
    </row>
    <row r="63">
      <c r="A63" s="6" t="n">
        <v>54</v>
      </c>
      <c r="B63" s="7" t="inlineStr">
        <is>
          <t>Visitas técnicas</t>
        </is>
      </c>
      <c r="C63" s="7" t="inlineStr">
        <is>
          <t>Opcional</t>
        </is>
      </c>
      <c r="D63" s="7" t="inlineStr">
        <is>
          <t>Campanha a ~8 unidades representativas (validação in loco)</t>
        </is>
      </c>
      <c r="E63" s="6" t="inlineStr">
        <is>
          <t>B1 e B4</t>
        </is>
      </c>
      <c r="F63" s="6" t="n">
        <v>8</v>
      </c>
      <c r="G63" s="8" t="n"/>
      <c r="H63" s="8">
        <f>G63*F63</f>
        <v/>
      </c>
    </row>
  </sheetData>
  <mergeCells count="4">
    <mergeCell ref="A62:H62"/>
    <mergeCell ref="A36:H36"/>
    <mergeCell ref="A52:H52"/>
    <mergeCell ref="A5:H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2026-06-19T16:22:58Z</dcterms:created>
  <dcterms:modified xmlns:dcterms="http://purl.org/dc/terms/" xmlns:xsi="http://www.w3.org/2001/XMLSchema-instance" xsi:type="dcterms:W3CDTF">2026-06-19T16:22:58Z</dcterms:modified>
</cp:coreProperties>
</file>